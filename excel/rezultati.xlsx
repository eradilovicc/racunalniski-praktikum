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r60011\RP\"/>
    </mc:Choice>
  </mc:AlternateContent>
  <xr:revisionPtr revIDLastSave="0" documentId="13_ncr:1_{6DD7CA21-01EA-443E-96D3-BC5882FA98CA}" xr6:coauthVersionLast="47" xr6:coauthVersionMax="47" xr10:uidLastSave="{00000000-0000-0000-0000-000000000000}"/>
  <bookViews>
    <workbookView minimized="1" xWindow="13185" yWindow="750" windowWidth="15690" windowHeight="14820" xr2:uid="{00000000-000D-0000-FFFF-FFFF00000000}"/>
  </bookViews>
  <sheets>
    <sheet name="Rezultati" sheetId="1" r:id="rId1"/>
    <sheet name="Sheet5" sheetId="6" r:id="rId2"/>
  </sheet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5" i="1"/>
  <c r="I5" i="1"/>
  <c r="J4" i="1"/>
  <c r="I4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<sst xmlns="http://schemas.openxmlformats.org/spreadsheetml/2006/main" count="105" uniqueCount="70">
  <si>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</si>
  <si>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</si>
  <si>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</si>
  <si>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</si>
  <si>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</si>
  <si>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</si>
  <si>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</si>
  <si>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</si>
  <si>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</si>
  <si>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</si>
  <si>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</si>
  <si>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</si>
  <si>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</si>
  <si>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</si>
  <si>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</si>
  <si>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</si>
  <si>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</si>
  <si>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</si>
  <si>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</si>
  <si>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</si>
  <si>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</si>
  <si>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</si>
  <si>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</si>
  <si>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</si>
  <si>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</si>
  <si>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</si>
  <si>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</si>
  <si>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</si>
  <si>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</si>
  <si>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</si>
  <si>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</si>
  <si>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</si>
  <si>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</si>
  <si>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</si>
  <si>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</si>
  <si>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</si>
  <si>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</si>
  <si>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</si>
  <si>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</si>
  <si>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</si>
  <si>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</si>
  <si>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</si>
  <si>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</si>
  <si>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</si>
  <si>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</si>
  <si>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</si>
  <si>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</si>
  <si>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</si>
  <si>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</si>
  <si>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</si>
  <si>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</si>
  <si>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</si>
  <si>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</si>
  <si>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</si>
  <si>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</si>
  <si>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</si>
  <si>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</si>
  <si>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</si>
  <si>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</si>
  <si>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</si>
  <si>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</si>
  <si>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</si>
  <si>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</si>
  <si>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</si>
  <si>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</si>
  <si>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</si>
  <si>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Grand Total</t>
  </si>
  <si>
    <t>Povprečje</t>
  </si>
  <si>
    <t>Maksimalno število točk</t>
  </si>
  <si>
    <t>Minimalno število točk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</si>
</sst>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C00000"/>
      </font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351268591426071E-2"/>
          <c:y val="0.22203412073490814"/>
          <c:w val="0.7480293088363954"/>
          <c:h val="0.66745953630796151"/>
        </c:manualLayout>
      </c:layout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36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607-4BA9-A282-777A96962E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7-4BA9-A282-777A96962E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62073490813653"/>
          <c:y val="0.35987168270632841"/>
          <c:w val="9.4712598425196859E-2"/>
          <c:h val="0.317709973753280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B-4032-A59F-2AC3E940541A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B-4032-A59F-2AC3E940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623775"/>
        <c:axId val="1865624191"/>
      </c:barChart>
      <c:catAx>
        <c:axId val="186562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865624191"/>
        <c:crosses val="autoZero"/>
        <c:auto val="1"/>
        <c:lblAlgn val="ctr"/>
        <c:lblOffset val="100"/>
        <c:noMultiLvlLbl val="0"/>
      </c:catAx>
      <c:valAx>
        <c:axId val="1865624191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865623775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12</xdr:row>
      <xdr:rowOff>9524</xdr:rowOff>
    </xdr:from>
    <xdr:to>
      <xdr:col>11</xdr:col>
      <xdr:colOff>114300</xdr:colOff>
      <xdr:row>24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881D8-6EF6-469B-90BA-2A5001E8F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409575</xdr:colOff>
      <xdr:row>25</xdr:row>
      <xdr:rowOff>180975</xdr:rowOff>
    </xdr:from>
    <xdr:to>
      <xdr:col>11</xdr:col>
      <xdr:colOff>295275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5AB735-5413-4F28-BF56-0B3BC0859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ilovič, Ema" refreshedDate="45999.741739467594" createdVersion="7" refreshedVersion="7" minRefreshableVersion="3" recordCount="28" xr:uid="{61C7945E-3177-4E09-A3A6-8D2323BBBDDF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 count="25">
        <n v="38"/>
        <n v="39"/>
        <n v="36"/>
        <n v="93"/>
        <n v="77"/>
        <n v="100"/>
        <n v="94"/>
        <n v="26"/>
        <n v="44"/>
        <n v="34"/>
        <n v="86"/>
        <n v="90"/>
        <n v="67"/>
        <n v="42"/>
        <n v="64"/>
        <n v="30"/>
        <n v="57"/>
        <n v="43"/>
        <n v="85"/>
        <n v="76"/>
        <n v="79"/>
        <n v="70"/>
        <n v="66"/>
        <n v="58"/>
        <n v="46"/>
      </sharedItems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x v="0"/>
    <s v="ne"/>
  </r>
  <r>
    <s v="Cvelbar"/>
    <s v="Janja"/>
    <x v="0"/>
    <x v="1"/>
    <s v="ne"/>
  </r>
  <r>
    <s v="Furlan"/>
    <s v="Aleš"/>
    <x v="0"/>
    <x v="2"/>
    <s v="ne"/>
  </r>
  <r>
    <s v="Furlan"/>
    <s v="Luka"/>
    <x v="1"/>
    <x v="3"/>
    <s v="da"/>
  </r>
  <r>
    <s v="Iskra"/>
    <s v="Sabina"/>
    <x v="1"/>
    <x v="4"/>
    <s v="da"/>
  </r>
  <r>
    <s v="Jerman"/>
    <s v="Katja"/>
    <x v="0"/>
    <x v="5"/>
    <s v="da"/>
  </r>
  <r>
    <s v="Karakaš"/>
    <s v="Alenka"/>
    <x v="1"/>
    <x v="6"/>
    <s v="da"/>
  </r>
  <r>
    <s v="Karničar"/>
    <s v="Jaka"/>
    <x v="2"/>
    <x v="7"/>
    <s v="ne"/>
  </r>
  <r>
    <s v="Kočar"/>
    <s v="Petra"/>
    <x v="0"/>
    <x v="8"/>
    <s v="ne"/>
  </r>
  <r>
    <s v="Kofol"/>
    <s v="Andraž"/>
    <x v="2"/>
    <x v="9"/>
    <s v="ne"/>
  </r>
  <r>
    <s v="Korošec"/>
    <s v="Kristina"/>
    <x v="0"/>
    <x v="10"/>
    <s v="da"/>
  </r>
  <r>
    <s v="Kržišnik"/>
    <s v="Grega"/>
    <x v="0"/>
    <x v="11"/>
    <s v="da"/>
  </r>
  <r>
    <s v="Kumar"/>
    <s v="Barbara"/>
    <x v="0"/>
    <x v="12"/>
    <s v="da"/>
  </r>
  <r>
    <s v="Logar"/>
    <s v="Mateja"/>
    <x v="1"/>
    <x v="13"/>
    <s v="ne"/>
  </r>
  <r>
    <s v="Obrenović"/>
    <s v="Tatjana"/>
    <x v="2"/>
    <x v="8"/>
    <s v="ne"/>
  </r>
  <r>
    <s v="Pance"/>
    <s v="Martin"/>
    <x v="0"/>
    <x v="14"/>
    <s v="da"/>
  </r>
  <r>
    <s v="Pleterski"/>
    <s v="Vesna"/>
    <x v="2"/>
    <x v="15"/>
    <s v="ne"/>
  </r>
  <r>
    <s v="Puncer"/>
    <s v="Primož"/>
    <x v="1"/>
    <x v="16"/>
    <s v="da"/>
  </r>
  <r>
    <s v="Ribnikar"/>
    <s v="Matjaž"/>
    <x v="1"/>
    <x v="17"/>
    <s v="ne"/>
  </r>
  <r>
    <s v="Smrekar"/>
    <s v="Andreja"/>
    <x v="1"/>
    <x v="0"/>
    <s v="ne"/>
  </r>
  <r>
    <s v="Štemberger"/>
    <s v="Igor"/>
    <x v="0"/>
    <x v="18"/>
    <s v="da"/>
  </r>
  <r>
    <s v="Šubašič"/>
    <s v="Matej"/>
    <x v="2"/>
    <x v="19"/>
    <s v="da"/>
  </r>
  <r>
    <s v="Tekavčič"/>
    <s v="Aleksander"/>
    <x v="1"/>
    <x v="9"/>
    <s v="ne"/>
  </r>
  <r>
    <s v="Tratnik"/>
    <s v="Mojca"/>
    <x v="0"/>
    <x v="20"/>
    <s v="da"/>
  </r>
  <r>
    <s v="Trček"/>
    <s v="Valerija"/>
    <x v="0"/>
    <x v="21"/>
    <s v="da"/>
  </r>
  <r>
    <s v="Vesel"/>
    <s v="Polona"/>
    <x v="2"/>
    <x v="22"/>
    <s v="da"/>
  </r>
  <r>
    <s v="Virant"/>
    <s v="Primož"/>
    <x v="2"/>
    <x v="23"/>
    <s v="da"/>
  </r>
  <r>
    <s v="Žveglič"/>
    <s v="Katarina"/>
    <x v="1"/>
    <x v="24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F1A14-302F-40AC-8BC3-C1D8458031C5}" name="PivotTable5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est">
  <location ref="H7:L11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>
      <items count="26">
        <item x="7"/>
        <item x="15"/>
        <item x="9"/>
        <item x="2"/>
        <item x="0"/>
        <item x="1"/>
        <item x="13"/>
        <item x="17"/>
        <item x="8"/>
        <item x="24"/>
        <item x="16"/>
        <item x="23"/>
        <item x="14"/>
        <item x="22"/>
        <item x="12"/>
        <item x="21"/>
        <item x="19"/>
        <item x="4"/>
        <item x="20"/>
        <item x="18"/>
        <item x="10"/>
        <item x="11"/>
        <item x="3"/>
        <item x="6"/>
        <item x="5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 numFmtId="2"/>
    <dataField name="Maksimalno število točk" fld="3" subtotal="max" baseField="2" baseItem="0"/>
    <dataField name="Minimalno število točk" fld="3" subtotal="min" baseField="2" baseItem="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3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IF(E3&gt;50,"da","ne")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3">
      <calculatedColumnFormula>COUNTIF(D3:D30,"B")</calculatedColumnFormula>
    </tableColumn>
    <tableColumn id="3" xr3:uid="{49F9352C-9597-4E44-8122-AF1CE6CE856F}" name="2022" dataDxfId="2">
      <calculatedColumnFormula>AVERAGEIF(Rezultati[Skupina],"A",Rezultati[Točke])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B3" sqref="B3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1.28515625" bestFit="1" customWidth="1"/>
    <col min="9" max="9" width="9.42578125" bestFit="1" customWidth="1"/>
    <col min="10" max="10" width="9.85546875" bestFit="1" customWidth="1"/>
    <col min="11" max="11" width="22.85546875" bestFit="1" customWidth="1"/>
    <col min="12" max="12" width="21.7109375" bestFit="1" customWidth="1"/>
    <col min="13" max="13" width="4" bestFit="1" customWidth="1"/>
    <col min="14" max="14" width="11.285156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IF(E3&gt;50,"da","ne")</f>
        <v>ne</v>
      </c>
      <c r="H3" t="s">
        <v>9</v>
      </c>
      <c r="I3">
        <f>COUNTIF(Rezultati[Skupina],"A")</f>
        <v>9</v>
      </c>
      <c r="J3" s="1">
        <f>AVERAGEIF(Rezultati[Skupina],"A",Rezultati[Točke])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 t="shared" ref="F4:F30" si="0">IF(E4&gt;50,"da","ne")</f>
        <v>ne</v>
      </c>
      <c r="H4" t="s">
        <v>12</v>
      </c>
      <c r="I4">
        <f>COUNTIF(Rezultati[Skupina],"B")</f>
        <v>12</v>
      </c>
      <c r="J4" s="1">
        <f>AVERAGEIF(Rezultati[Skupina],"B",Rezultati[Točke])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 t="shared" si="0"/>
        <v>ne</v>
      </c>
      <c r="H5" t="s">
        <v>15</v>
      </c>
      <c r="I5">
        <f>COUNTIF(Rezultati[Skupina],"C")</f>
        <v>7</v>
      </c>
      <c r="J5" s="1">
        <f>AVERAGEIF(Rezultati[Skupina],"C",Rezultati[Točke])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 t="shared" si="0"/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 t="shared" si="0"/>
        <v>da</v>
      </c>
      <c r="H7" s="2" t="s">
        <v>5</v>
      </c>
      <c r="I7" t="s">
        <v>6</v>
      </c>
      <c r="J7" t="s">
        <v>67</v>
      </c>
      <c r="K7" t="s">
        <v>68</v>
      </c>
      <c r="L7" t="s">
        <v>69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 t="shared" si="0"/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 t="shared" si="0"/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 t="shared" si="0"/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 t="shared" si="0"/>
        <v>ne</v>
      </c>
      <c r="H11" s="3" t="s">
        <v>66</v>
      </c>
      <c r="I11" s="4">
        <v>28</v>
      </c>
      <c r="J11" s="1">
        <v>59.142857142857146</v>
      </c>
      <c r="K11" s="4">
        <v>100</v>
      </c>
      <c r="L11" s="4">
        <v>26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 t="shared" si="0"/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 t="shared" si="0"/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 t="shared" si="0"/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 t="shared" si="0"/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 t="shared" si="0"/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 t="shared" si="0"/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 t="shared" si="0"/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 t="shared" si="0"/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 t="shared" si="0"/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 t="shared" si="0"/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 t="shared" si="0"/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 t="shared" si="0"/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 t="shared" si="0"/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 t="shared" si="0"/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 t="shared" si="0"/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 t="shared" si="0"/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 t="shared" si="0"/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 t="shared" si="0"/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 t="shared" si="0"/>
        <v>ne</v>
      </c>
    </row>
  </sheetData>
  <conditionalFormatting sqref="B3 C3 E3 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8FDC-B4FA-41B9-A34A-CD66379815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Rezultati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Radilovič, Ema</cp:lastModifiedBy>
  <dcterms:created xsi:type="dcterms:W3CDTF">2007-11-10T02:36:44Z</dcterms:created>
  <dcterms:modified xsi:type="dcterms:W3CDTF">2025-12-08T19:00:10Z</dcterms:modified>
</cp:coreProperties>
</file>